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t67ca\Desktop\"/>
    </mc:Choice>
  </mc:AlternateContent>
  <xr:revisionPtr revIDLastSave="0" documentId="13_ncr:1_{182F0798-D9E8-4B7E-B0A4-82B9D1D7AEE9}" xr6:coauthVersionLast="47" xr6:coauthVersionMax="47" xr10:uidLastSave="{00000000-0000-0000-0000-000000000000}"/>
  <workbookProtection workbookAlgorithmName="SHA-512" workbookHashValue="GWED+HeuHIjcYQaidoOoW/x++z4Hg31XrJtvjmYVrhujgXHkCxQZr2RIyvLqH0z/dZa3jTvl5cyOSbeZGxvxIA==" workbookSaltValue="p8++IstLfkvfKtKsNibEgA==" workbookSpinCount="100000" lockStructure="1"/>
  <bookViews>
    <workbookView xWindow="-120" yWindow="-120" windowWidth="20730" windowHeight="11160" activeTab="3" xr2:uid="{00000000-000D-0000-FFFF-FFFF00000000}"/>
  </bookViews>
  <sheets>
    <sheet name="Produtos" sheetId="1" r:id="rId1"/>
    <sheet name="Fornecedor" sheetId="2" r:id="rId2"/>
    <sheet name="Orçamento Matriz" sheetId="3" r:id="rId3"/>
    <sheet name="Orçamentos Salvos" sheetId="4" r:id="rId4"/>
    <sheet name="LISTAS" sheetId="5" r:id="rId5"/>
    <sheet name="Senha" sheetId="6" r:id="rId6"/>
    <sheet name="Menu" sheetId="7" r:id="rId7"/>
  </sheets>
  <definedNames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4" l="1"/>
  <c r="E19" i="3"/>
  <c r="E20" i="3"/>
  <c r="F45" i="3"/>
  <c r="F20" i="3"/>
  <c r="F21" i="3"/>
  <c r="F22" i="3"/>
  <c r="F23" i="3"/>
  <c r="F24" i="3"/>
  <c r="F25" i="3"/>
  <c r="F26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H20" i="3"/>
  <c r="H21" i="3"/>
  <c r="H22" i="3"/>
  <c r="H23" i="3"/>
  <c r="H24" i="3"/>
  <c r="H25" i="3"/>
  <c r="H26" i="3"/>
  <c r="H32" i="3"/>
  <c r="H34" i="3"/>
  <c r="H35" i="3"/>
  <c r="H36" i="3"/>
  <c r="H37" i="3"/>
  <c r="H38" i="3"/>
  <c r="H39" i="3"/>
  <c r="H40" i="3"/>
  <c r="H41" i="3"/>
  <c r="H42" i="3"/>
  <c r="H43" i="3"/>
  <c r="H44" i="3"/>
  <c r="H19" i="3"/>
  <c r="F19" i="3"/>
  <c r="E21" i="3"/>
  <c r="E22" i="3"/>
  <c r="E23" i="3"/>
  <c r="E24" i="3"/>
  <c r="E25" i="3"/>
  <c r="E26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I7" i="3"/>
  <c r="F46" i="3" l="1"/>
  <c r="I19" i="3"/>
</calcChain>
</file>

<file path=xl/sharedStrings.xml><?xml version="1.0" encoding="utf-8"?>
<sst xmlns="http://schemas.openxmlformats.org/spreadsheetml/2006/main" count="142" uniqueCount="63">
  <si>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</si>
  <si>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</si>
  <si>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</si>
  <si>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</si>
  <si>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</si>
  <si>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</si>
  <si>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</si>
  <si>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</si>
  <si>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</si>
  <si>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</si>
  <si>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</si>
  <si>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</si>
  <si>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</si>
  <si>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</si>
  <si>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</si>
  <si>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</si>
  <si>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</si>
  <si>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</si>
  <si>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</si>
  <si>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</si>
  <si>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</si>
  <si>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</si>
  <si>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</si>
  <si>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</si>
  <si>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</si>
  <si>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</si>
  <si>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</si>
  <si>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</si>
  <si>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</si>
  <si>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</si>
  <si>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nome da empresa&gt;</t>
  </si>
  <si>
    <t>&lt;insira aqui o endereço&gt;</t>
  </si>
  <si>
    <t>Nr.Orçamento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</si>
  <si>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</si>
  <si>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</si>
  <si>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</si>
  <si>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</si>
  <si>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</si>
  <si>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</si>
  <si>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</si>
  <si>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</si>
  <si>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</si>
  <si>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</si>
  <si>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</si>
  <si>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</si>
  <si>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</si>
  <si>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</si>
  <si>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</si>
  <si>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>ADM</t>
  </si>
  <si>
    <t>Produtos</t>
  </si>
  <si>
    <t>Fornecedor</t>
  </si>
  <si>
    <t>Orçamento Matriz</t>
  </si>
  <si>
    <t>LISTAS</t>
  </si>
  <si>
    <t>FUNCIONARIOPRODUTO</t>
  </si>
  <si>
    <t>FUNCIONARIOFORNECEDOR</t>
  </si>
  <si>
    <t>FUNCIONARIOLISTA</t>
  </si>
  <si>
    <t>FUNCIONARIOORC</t>
  </si>
  <si>
    <t>Orçamentos Salvos</t>
  </si>
  <si>
    <t>null</t>
  </si>
  <si>
    <t>Sussy</t>
  </si>
  <si>
    <t>30</t>
  </si>
  <si>
    <t>28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</si>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</sst>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4" fontId="0" fillId="4" borderId="1" xfId="0" applyNumberFormat="1" applyFill="1" applyBorder="1"/>
    <xf numFmtId="164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0</xdr:row>
          <xdr:rowOff>76200</xdr:rowOff>
        </xdr:from>
        <xdr:to>
          <xdr:col>8</xdr:col>
          <xdr:colOff>600075</xdr:colOff>
          <xdr:row>2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1</xdr:row>
          <xdr:rowOff>180975</xdr:rowOff>
        </xdr:from>
        <xdr:to>
          <xdr:col>10</xdr:col>
          <xdr:colOff>0</xdr:colOff>
          <xdr:row>5</xdr:row>
          <xdr:rowOff>19050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47</xdr:row>
          <xdr:rowOff>57150</xdr:rowOff>
        </xdr:from>
        <xdr:to>
          <xdr:col>4</xdr:col>
          <xdr:colOff>1162050</xdr:colOff>
          <xdr:row>49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1619250</xdr:colOff>
          <xdr:row>47</xdr:row>
          <xdr:rowOff>95250</xdr:rowOff>
        </xdr:from>
        <xdr:to>
          <xdr:col>6</xdr:col>
          <xdr:colOff>171450</xdr:colOff>
          <xdr:row>49</xdr:row>
          <xdr:rowOff>57150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504825</xdr:colOff>
          <xdr:row>2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3"/>
  <sheetViews>
    <sheetView workbookViewId="0">
      <selection activeCell="F7" sqref="F7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28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  <row r="3" spans="1:6" x14ac:dyDescent="0.25">
      <c r="A3">
        <v>30</v>
      </c>
      <c r="B3" t="s">
        <v>59</v>
      </c>
      <c r="C3">
        <v>12938</v>
      </c>
      <c r="D3">
        <v>30</v>
      </c>
      <c r="E3" t="s">
        <v>6</v>
      </c>
      <c r="F3" s="5">
        <v>10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sCadastroProduto">
                <anchor moveWithCells="1" sizeWithCells="1">
                  <from>
                    <xdr:col>6</xdr:col>
                    <xdr:colOff>304800</xdr:colOff>
                    <xdr:row>0</xdr:row>
                    <xdr:rowOff>76200</xdr:rowOff>
                  </from>
                  <to>
                    <xdr:col>8</xdr:col>
                    <xdr:colOff>600075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2"/>
  <sheetViews>
    <sheetView workbookViewId="0">
      <selection activeCell="D8" sqref="D8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  <row r="2" spans="1:6" x14ac:dyDescent="0.25">
      <c r="A2" t="s">
        <v>58</v>
      </c>
      <c r="B2" t="s">
        <v>58</v>
      </c>
      <c r="C2" t="s">
        <v>58</v>
      </c>
      <c r="D2" t="s">
        <v>58</v>
      </c>
      <c r="E2" t="s">
        <v>58</v>
      </c>
      <c r="F2" t="s">
        <v>58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isCadastroFornecedor">
                <anchor moveWithCells="1" sizeWithCells="1">
                  <from>
                    <xdr:col>6</xdr:col>
                    <xdr:colOff>600075</xdr:colOff>
                    <xdr:row>1</xdr:row>
                    <xdr:rowOff>180975</xdr:rowOff>
                  </from>
                  <to>
                    <xdr:col>10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pageSetUpPr fitToPage="1"/>
  </sheetPr>
  <dimension ref="A1:M55"/>
  <sheetViews>
    <sheetView zoomScale="70" zoomScaleNormal="70" workbookViewId="0">
      <selection activeCell="I19" sqref="I19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6" width="11.140625" bestFit="1" customWidth="1"/>
    <col min="7" max="8" width="9.140625" customWidth="1"/>
    <col min="9" max="9" width="10.5703125" bestFit="1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>
        <v>1</v>
      </c>
      <c r="B2" s="10"/>
      <c r="D2" s="11" t="s">
        <v>60</v>
      </c>
      <c r="G2" s="11" t="s">
        <v>60</v>
      </c>
      <c r="K2" s="12"/>
    </row>
    <row r="3" spans="1:11" x14ac:dyDescent="0.25">
      <c r="A3" s="7">
        <v>30</v>
      </c>
      <c r="C3" s="37"/>
      <c r="D3" s="37"/>
      <c r="E3" s="38" t="s">
        <v>30</v>
      </c>
      <c r="F3" s="38"/>
      <c r="G3" s="38"/>
      <c r="H3" s="38"/>
      <c r="I3" s="38"/>
    </row>
    <row r="4" spans="1:11" x14ac:dyDescent="0.25">
      <c r="C4" s="37"/>
      <c r="D4" s="37"/>
      <c r="E4" s="39" t="s">
        <v>31</v>
      </c>
      <c r="F4" s="39"/>
      <c r="G4" s="39"/>
      <c r="H4" s="39"/>
      <c r="I4" s="39"/>
    </row>
    <row r="5" spans="1:11" x14ac:dyDescent="0.25">
      <c r="C5" s="37"/>
      <c r="D5" s="37"/>
    </row>
    <row r="6" spans="1:11" x14ac:dyDescent="0.25">
      <c r="C6" s="37"/>
      <c r="D6" s="37"/>
      <c r="F6" s="39"/>
      <c r="G6" s="39"/>
      <c r="H6" s="39"/>
    </row>
    <row r="7" spans="1:11" x14ac:dyDescent="0.25">
      <c r="C7" s="37"/>
      <c r="D7" s="37"/>
      <c r="H7" s="14" t="s">
        <v>32</v>
      </c>
      <c r="I7" s="15">
        <f>MAX('Orçamentos Salvos'!A3:A1048576)+1</f>
        <v>1</v>
      </c>
    </row>
    <row r="8" spans="1:11" x14ac:dyDescent="0.25"/>
    <row r="9" spans="1:11" x14ac:dyDescent="0.25">
      <c r="C9" s="40"/>
      <c r="D9" s="41"/>
      <c r="E9" s="41"/>
      <c r="F9" s="41"/>
      <c r="G9" s="41"/>
      <c r="H9" s="41"/>
      <c r="I9" s="42"/>
    </row>
    <row r="10" spans="1:11" x14ac:dyDescent="0.25">
      <c r="C10" s="43"/>
      <c r="D10" s="44"/>
      <c r="E10" s="44"/>
      <c r="F10" s="44"/>
      <c r="G10" s="44"/>
      <c r="H10" s="44"/>
      <c r="I10" s="45"/>
    </row>
    <row r="11" spans="1:11" x14ac:dyDescent="0.25">
      <c r="C11" s="43"/>
      <c r="D11" s="44"/>
      <c r="E11" s="44"/>
      <c r="F11" s="44"/>
      <c r="G11" s="44"/>
      <c r="H11" s="44"/>
      <c r="I11" s="45"/>
    </row>
    <row r="12" spans="1:11" x14ac:dyDescent="0.25">
      <c r="C12" s="43"/>
      <c r="D12" s="44"/>
      <c r="E12" s="44"/>
      <c r="F12" s="44"/>
      <c r="G12" s="44"/>
      <c r="H12" s="44"/>
      <c r="I12" s="45"/>
    </row>
    <row r="13" spans="1:11" x14ac:dyDescent="0.25">
      <c r="C13" s="43"/>
      <c r="D13" s="44"/>
      <c r="E13" s="44"/>
      <c r="F13" s="44"/>
      <c r="G13" s="44"/>
      <c r="H13" s="44"/>
      <c r="I13" s="45"/>
    </row>
    <row r="14" spans="1:11" x14ac:dyDescent="0.25">
      <c r="C14" s="46"/>
      <c r="D14" s="47"/>
      <c r="E14" s="47"/>
      <c r="F14" s="47"/>
      <c r="G14" s="47"/>
      <c r="H14" s="47"/>
      <c r="I14" s="48"/>
    </row>
    <row r="15" spans="1:11" x14ac:dyDescent="0.25">
      <c r="B15" s="13">
        <v>30</v>
      </c>
    </row>
    <row r="16" spans="1:11" ht="15.75" x14ac:dyDescent="0.25">
      <c r="B16" s="13">
        <v>30</v>
      </c>
      <c r="C16" s="49"/>
      <c r="D16" s="49"/>
      <c r="E16" s="16">
        <v>42357</v>
      </c>
      <c r="F16" s="49" t="s">
        <v>33</v>
      </c>
      <c r="G16" s="49"/>
      <c r="H16" s="50">
        <v>42329</v>
      </c>
      <c r="I16" s="44"/>
    </row>
    <row r="17" spans="1:11" x14ac:dyDescent="0.25"/>
    <row r="18" spans="1:11" ht="15.75" thickBot="1" x14ac:dyDescent="0.3">
      <c r="C18" s="17" t="s">
        <v>16</v>
      </c>
      <c r="D18" s="18" t="s">
        <v>34</v>
      </c>
      <c r="E18" s="18" t="s">
        <v>18</v>
      </c>
      <c r="F18" s="19" t="s">
        <v>8</v>
      </c>
      <c r="G18" s="19" t="s">
        <v>35</v>
      </c>
      <c r="H18" s="19" t="s">
        <v>36</v>
      </c>
      <c r="I18" s="19" t="s">
        <v>37</v>
      </c>
    </row>
    <row r="19" spans="1:11" x14ac:dyDescent="0.25">
      <c r="A19" s="7">
        <v>30</v>
      </c>
      <c r="B19" s="13">
        <v>30</v>
      </c>
      <c r="C19">
        <v>30</v>
      </c>
      <c r="D19" s="20">
        <v>30</v>
      </c>
      <c r="E19" t="str">
        <f>IFERROR(VLOOKUP('Orçamento Matriz'!D19,Produtos!$A:$F,2,FALSE),"")</f>
        <v>Sussy</v>
      </c>
      <c r="F19" s="30" t="str">
        <f>IFERROR(VLOOKUP('Orçamento Matriz'!D19,Produtos!$A:$F,5,FALSE),"")</f>
        <v>Litro</v>
      </c>
      <c r="G19" s="32">
        <v>30</v>
      </c>
      <c r="H19" s="21">
        <f>IFERROR(VLOOKUP('Orçamento Matriz'!D19,Produtos!$A:$F,6,FALSE),"")</f>
        <v>10</v>
      </c>
      <c r="I19" s="22">
        <f>IF(SUM(H19:H44) = 0, "", SUM(H19:H44))</f>
        <v>45</v>
      </c>
    </row>
    <row r="20" spans="1:11" x14ac:dyDescent="0.25">
      <c r="A20" s="7">
        <v>28</v>
      </c>
      <c r="B20" s="13">
        <v>28</v>
      </c>
      <c r="C20">
        <v>28</v>
      </c>
      <c r="D20" s="31">
        <v>28</v>
      </c>
      <c r="E20" t="str">
        <f>IFERROR(VLOOKUP('Orçamento Matriz'!D20,Produtos!$A:$F,2,FALSE),"")</f>
        <v>Produto 1</v>
      </c>
      <c r="F20" s="30" t="str">
        <f>IFERROR(VLOOKUP('Orçamento Matriz'!D20,Produtos!$A:$F,5,FALSE),"")</f>
        <v>Unidade</v>
      </c>
      <c r="G20" s="32">
        <v>28</v>
      </c>
      <c r="H20" s="21">
        <f>IFERROR(VLOOKUP('Orçamento Matriz'!D20,Produtos!$A:$F,6,FALSE),"")</f>
        <v>5</v>
      </c>
      <c r="I20" s="22"/>
    </row>
    <row r="21" spans="1:11" x14ac:dyDescent="0.25">
      <c r="A21" s="7">
        <v>28</v>
      </c>
      <c r="B21" s="13">
        <v>28</v>
      </c>
      <c r="C21">
        <v>28</v>
      </c>
      <c r="D21" s="20">
        <v>28</v>
      </c>
      <c r="E21" t="str">
        <f>IFERROR(VLOOKUP('Orçamento Matriz'!D21,Produtos!$A:$F,2,FALSE),"")</f>
        <v>Produto 1</v>
      </c>
      <c r="F21" s="30" t="str">
        <f>IFERROR(VLOOKUP('Orçamento Matriz'!D21,Produtos!$A:$F,5,FALSE),"")</f>
        <v>Unidade</v>
      </c>
      <c r="G21" s="33" t="s">
        <v>61</v>
      </c>
      <c r="H21" s="21">
        <f>IFERROR(VLOOKUP('Orçamento Matriz'!D21,Produtos!$A:$F,6,FALSE),"")</f>
        <v>5</v>
      </c>
      <c r="I21" s="22"/>
    </row>
    <row r="22" spans="1:11" x14ac:dyDescent="0.25">
      <c r="A22" s="7">
        <v>30</v>
      </c>
      <c r="B22" s="13">
        <v>30</v>
      </c>
      <c r="C22">
        <v>30</v>
      </c>
      <c r="D22" s="20">
        <v>30</v>
      </c>
      <c r="E22" t="str">
        <f>IFERROR(VLOOKUP('Orçamento Matriz'!D22,Produtos!$A:$F,2,FALSE),"")</f>
        <v>Sussy</v>
      </c>
      <c r="F22" s="30" t="str">
        <f>IFERROR(VLOOKUP('Orçamento Matriz'!D22,Produtos!$A:$F,5,FALSE),"")</f>
        <v>Litro</v>
      </c>
      <c r="G22" s="33" t="s">
        <v>60</v>
      </c>
      <c r="H22" s="21">
        <f>IFERROR(VLOOKUP('Orçamento Matriz'!D22,Produtos!$A:$F,6,FALSE),"")</f>
        <v>10</v>
      </c>
      <c r="I22" s="22"/>
      <c r="J22" s="23"/>
      <c r="K22" s="24"/>
    </row>
    <row r="23" spans="1:11" x14ac:dyDescent="0.25">
      <c r="A23" s="7">
        <v>28</v>
      </c>
      <c r="B23" s="13">
        <v>28</v>
      </c>
      <c r="C23">
        <v>28</v>
      </c>
      <c r="D23" s="20">
        <v>28</v>
      </c>
      <c r="E23" t="str">
        <f>IFERROR(VLOOKUP('Orçamento Matriz'!D23,Produtos!$A:$F,2,FALSE),"")</f>
        <v>Produto 1</v>
      </c>
      <c r="F23" s="30" t="str">
        <f>IFERROR(VLOOKUP('Orçamento Matriz'!D23,Produtos!$A:$F,5,FALSE),"")</f>
        <v>Unidade</v>
      </c>
      <c r="G23" s="33" t="s">
        <v>61</v>
      </c>
      <c r="H23" s="21">
        <f>IFERROR(VLOOKUP('Orçamento Matriz'!D23,Produtos!$A:$F,6,FALSE),"")</f>
        <v>5</v>
      </c>
      <c r="I23" s="22"/>
      <c r="J23" s="23"/>
      <c r="K23" s="24"/>
    </row>
    <row r="24" spans="1:11" x14ac:dyDescent="0.25">
      <c r="A24" s="7">
        <v>28</v>
      </c>
      <c r="B24" s="13">
        <v>28</v>
      </c>
      <c r="C24">
        <v>28</v>
      </c>
      <c r="D24" s="20">
        <v>28</v>
      </c>
      <c r="E24" t="str">
        <f>IFERROR(VLOOKUP('Orçamento Matriz'!D24,Produtos!$A:$F,2,FALSE),"")</f>
        <v>Produto 1</v>
      </c>
      <c r="F24" s="30" t="str">
        <f>IFERROR(VLOOKUP('Orçamento Matriz'!D24,Produtos!$A:$F,5,FALSE),"")</f>
        <v>Unidade</v>
      </c>
      <c r="G24" s="32" t="s">
        <v>61</v>
      </c>
      <c r="H24" s="21">
        <f>IFERROR(VLOOKUP('Orçamento Matriz'!D24,Produtos!$A:$F,6,FALSE),"")</f>
        <v>5</v>
      </c>
      <c r="I24" s="22"/>
    </row>
    <row r="25" spans="1:11" x14ac:dyDescent="0.25">
      <c r="A25" s="7">
        <v>28</v>
      </c>
      <c r="B25" s="13">
        <v>28</v>
      </c>
      <c r="C25">
        <v>28</v>
      </c>
      <c r="D25" s="20">
        <v>28</v>
      </c>
      <c r="E25" t="str">
        <f>IFERROR(VLOOKUP('Orçamento Matriz'!D25,Produtos!$A:$F,2,FALSE),"")</f>
        <v>Produto 1</v>
      </c>
      <c r="F25" s="30" t="str">
        <f>IFERROR(VLOOKUP('Orçamento Matriz'!D25,Produtos!$A:$F,5,FALSE),"")</f>
        <v>Unidade</v>
      </c>
      <c r="G25" s="33" t="s">
        <v>61</v>
      </c>
      <c r="H25" s="21">
        <f>IFERROR(VLOOKUP('Orçamento Matriz'!D25,Produtos!$A:$F,6,FALSE),"")</f>
        <v>5</v>
      </c>
      <c r="I25" s="22"/>
    </row>
    <row r="26" spans="1:11" x14ac:dyDescent="0.25">
      <c r="A26" s="7">
        <v>28</v>
      </c>
      <c r="B26" s="13">
        <v>28</v>
      </c>
      <c r="D26" s="20"/>
      <c r="E26" t="str">
        <f>IFERROR(VLOOKUP('Orçamento Matriz'!D26,Produtos!$A:$F,2,FALSE),"")</f>
        <v/>
      </c>
      <c r="F26" s="30" t="str">
        <f>IFERROR(VLOOKUP('Orçamento Matriz'!D26,Produtos!$A:$F,5,FALSE),"")</f>
        <v/>
      </c>
      <c r="G26" s="33"/>
      <c r="H26" s="21" t="str">
        <f>IFERROR(VLOOKUP('Orçamento Matriz'!D26,Produtos!$A:$F,6,FALSE),"")</f>
        <v/>
      </c>
      <c r="I26" s="22"/>
    </row>
    <row r="27" spans="1:11" x14ac:dyDescent="0.25">
      <c r="A27" s="7">
        <v>30</v>
      </c>
      <c r="B27" s="13">
        <v>30</v>
      </c>
      <c r="D27" s="20"/>
      <c r="F27" s="30"/>
      <c r="G27" s="33"/>
      <c r="H27" s="21"/>
      <c r="I27" s="22"/>
    </row>
    <row r="28" spans="1:11" x14ac:dyDescent="0.25">
      <c r="A28" s="7">
        <v>30</v>
      </c>
      <c r="B28" s="13">
        <v>30</v>
      </c>
      <c r="D28" s="20"/>
      <c r="F28" s="30"/>
      <c r="G28" s="33"/>
      <c r="H28" s="21"/>
      <c r="I28" s="22"/>
    </row>
    <row r="29" spans="1:11" x14ac:dyDescent="0.25">
      <c r="A29" s="7">
        <v>28</v>
      </c>
      <c r="D29" s="20"/>
      <c r="F29" s="30"/>
      <c r="G29" s="33"/>
      <c r="H29" s="21"/>
      <c r="I29" s="22"/>
    </row>
    <row r="30" spans="1:11" x14ac:dyDescent="0.25">
      <c r="D30" s="20"/>
      <c r="F30" s="30"/>
      <c r="G30" s="33"/>
      <c r="H30" s="21"/>
      <c r="I30" s="22"/>
    </row>
    <row r="31" spans="1:11" x14ac:dyDescent="0.25">
      <c r="D31" s="20"/>
      <c r="F31" s="30"/>
      <c r="G31" s="33"/>
      <c r="H31" s="21"/>
      <c r="I31" s="22"/>
    </row>
    <row r="32" spans="1:11" x14ac:dyDescent="0.25">
      <c r="D32" s="20"/>
      <c r="E32" t="str">
        <f>IFERROR(VLOOKUP('Orçamento Matriz'!D32,Produtos!$A:$F,2,FALSE),"")</f>
        <v/>
      </c>
      <c r="F32" s="30" t="str">
        <f>IFERROR(VLOOKUP('Orçamento Matriz'!D32,Produtos!$A:$F,5,FALSE),"")</f>
        <v/>
      </c>
      <c r="G32" s="33"/>
      <c r="H32" s="21" t="str">
        <f>IFERROR(VLOOKUP('Orçamento Matriz'!D32,Produtos!$A:$F,6,FALSE),"")</f>
        <v/>
      </c>
      <c r="I32" s="22"/>
      <c r="J32" s="23"/>
      <c r="K32" s="24"/>
    </row>
    <row r="33" spans="4:11" x14ac:dyDescent="0.25">
      <c r="D33" s="20"/>
      <c r="E33" t="str">
        <f>IFERROR(VLOOKUP('Orçamento Matriz'!D33,Produtos!$A:$F,2,FALSE),"")</f>
        <v/>
      </c>
      <c r="F33" s="30" t="str">
        <f>IFERROR(VLOOKUP('Orçamento Matriz'!D33,Produtos!$A:$F,5,FALSE),"")</f>
        <v/>
      </c>
      <c r="G33" s="33"/>
      <c r="H33" s="21"/>
      <c r="I33" s="22"/>
      <c r="J33" s="23"/>
      <c r="K33" s="24"/>
    </row>
    <row r="34" spans="4:11" x14ac:dyDescent="0.25">
      <c r="D34" s="20"/>
      <c r="E34" t="str">
        <f>IFERROR(VLOOKUP('Orçamento Matriz'!D34,Produtos!$A:$F,2,FALSE),"")</f>
        <v/>
      </c>
      <c r="F34" s="30" t="str">
        <f>IFERROR(VLOOKUP('Orçamento Matriz'!D34,Produtos!$A:$F,5,FALSE),"")</f>
        <v/>
      </c>
      <c r="G34" s="33"/>
      <c r="H34" s="21" t="str">
        <f>IFERROR(VLOOKUP('Orçamento Matriz'!D34,Produtos!$A:$F,6,FALSE),"")</f>
        <v/>
      </c>
      <c r="I34" s="22"/>
    </row>
    <row r="35" spans="4:11" x14ac:dyDescent="0.25">
      <c r="E35" t="str">
        <f>IFERROR(VLOOKUP('Orçamento Matriz'!D35,Produtos!$A:$F,2,FALSE),"")</f>
        <v/>
      </c>
      <c r="F35" s="30" t="str">
        <f>IFERROR(VLOOKUP('Orçamento Matriz'!D35,Produtos!$A:$F,5,FALSE),"")</f>
        <v/>
      </c>
      <c r="G35" s="33"/>
      <c r="H35" s="21" t="str">
        <f>IFERROR(VLOOKUP('Orçamento Matriz'!D35,Produtos!$A:$F,6,FALSE),"")</f>
        <v/>
      </c>
      <c r="I35" s="22"/>
    </row>
    <row r="36" spans="4:11" x14ac:dyDescent="0.25">
      <c r="E36" t="str">
        <f>IFERROR(VLOOKUP('Orçamento Matriz'!D36,Produtos!$A:$F,2,FALSE),"")</f>
        <v/>
      </c>
      <c r="F36" s="30" t="str">
        <f>IFERROR(VLOOKUP('Orçamento Matriz'!D36,Produtos!$A:$F,5,FALSE),"")</f>
        <v/>
      </c>
      <c r="G36" s="33"/>
      <c r="H36" s="21" t="str">
        <f>IFERROR(VLOOKUP('Orçamento Matriz'!D36,Produtos!$A:$F,6,FALSE),"")</f>
        <v/>
      </c>
      <c r="I36" s="22"/>
    </row>
    <row r="37" spans="4:11" x14ac:dyDescent="0.25">
      <c r="E37" t="str">
        <f>IFERROR(VLOOKUP('Orçamento Matriz'!D37,Produtos!$A:$F,2,FALSE),"")</f>
        <v/>
      </c>
      <c r="F37" s="30" t="str">
        <f>IFERROR(VLOOKUP('Orçamento Matriz'!D37,Produtos!$A:$F,5,FALSE),"")</f>
        <v/>
      </c>
      <c r="G37" s="33"/>
      <c r="H37" s="21" t="str">
        <f>IFERROR(VLOOKUP('Orçamento Matriz'!D37,Produtos!$A:$F,6,FALSE),"")</f>
        <v/>
      </c>
      <c r="I37" s="22"/>
    </row>
    <row r="38" spans="4:11" x14ac:dyDescent="0.25">
      <c r="E38" t="str">
        <f>IFERROR(VLOOKUP('Orçamento Matriz'!D38,Produtos!$A:$F,2,FALSE),"")</f>
        <v/>
      </c>
      <c r="F38" s="30" t="str">
        <f>IFERROR(VLOOKUP('Orçamento Matriz'!D38,Produtos!$A:$F,5,FALSE),"")</f>
        <v/>
      </c>
      <c r="G38" s="33"/>
      <c r="H38" s="21" t="str">
        <f>IFERROR(VLOOKUP('Orçamento Matriz'!D38,Produtos!$A:$F,6,FALSE),"")</f>
        <v/>
      </c>
      <c r="I38" s="22"/>
    </row>
    <row r="39" spans="4:11" x14ac:dyDescent="0.25">
      <c r="E39" t="str">
        <f>IFERROR(VLOOKUP('Orçamento Matriz'!D39,Produtos!$A:$F,2,FALSE),"")</f>
        <v/>
      </c>
      <c r="F39" s="30" t="str">
        <f>IFERROR(VLOOKUP('Orçamento Matriz'!D39,Produtos!$A:$F,5,FALSE),"")</f>
        <v/>
      </c>
      <c r="G39" s="33"/>
      <c r="H39" s="21" t="str">
        <f>IFERROR(VLOOKUP('Orçamento Matriz'!D39,Produtos!$A:$F,6,FALSE),"")</f>
        <v/>
      </c>
      <c r="I39" s="22"/>
    </row>
    <row r="40" spans="4:11" x14ac:dyDescent="0.25">
      <c r="E40" t="str">
        <f>IFERROR(VLOOKUP('Orçamento Matriz'!D40,Produtos!$A:$F,2,FALSE),"")</f>
        <v/>
      </c>
      <c r="F40" s="30" t="str">
        <f>IFERROR(VLOOKUP('Orçamento Matriz'!D40,Produtos!$A:$F,5,FALSE),"")</f>
        <v/>
      </c>
      <c r="G40" s="33"/>
      <c r="H40" s="21" t="str">
        <f>IFERROR(VLOOKUP('Orçamento Matriz'!D40,Produtos!$A:$F,6,FALSE),"")</f>
        <v/>
      </c>
      <c r="I40" s="22"/>
    </row>
    <row r="41" spans="4:11" x14ac:dyDescent="0.25">
      <c r="E41" t="str">
        <f>IFERROR(VLOOKUP('Orçamento Matriz'!D41,Produtos!$A:$F,2,FALSE),"")</f>
        <v/>
      </c>
      <c r="F41" s="30" t="str">
        <f>IFERROR(VLOOKUP('Orçamento Matriz'!D41,Produtos!$A:$F,5,FALSE),"")</f>
        <v/>
      </c>
      <c r="G41" s="33"/>
      <c r="H41" s="21" t="str">
        <f>IFERROR(VLOOKUP('Orçamento Matriz'!D41,Produtos!$A:$F,6,FALSE),"")</f>
        <v/>
      </c>
      <c r="I41" s="22"/>
    </row>
    <row r="42" spans="4:11" x14ac:dyDescent="0.25">
      <c r="E42" t="str">
        <f>IFERROR(VLOOKUP('Orçamento Matriz'!D42,Produtos!$A:$F,2,FALSE),"")</f>
        <v/>
      </c>
      <c r="F42" s="30" t="str">
        <f>IFERROR(VLOOKUP('Orçamento Matriz'!D42,Produtos!$A:$F,5,FALSE),"")</f>
        <v/>
      </c>
      <c r="G42" s="33"/>
      <c r="H42" s="21" t="str">
        <f>IFERROR(VLOOKUP('Orçamento Matriz'!D42,Produtos!$A:$F,6,FALSE),"")</f>
        <v/>
      </c>
      <c r="I42" s="22"/>
    </row>
    <row r="43" spans="4:11" x14ac:dyDescent="0.25">
      <c r="E43" t="str">
        <f>IFERROR(VLOOKUP('Orçamento Matriz'!D43,Produtos!$A:$F,2,FALSE),"")</f>
        <v/>
      </c>
      <c r="F43" s="30" t="str">
        <f>IFERROR(VLOOKUP('Orçamento Matriz'!D43,Produtos!$A:$F,5,FALSE),"")</f>
        <v/>
      </c>
      <c r="G43" s="34"/>
      <c r="H43" s="21" t="str">
        <f>IFERROR(VLOOKUP('Orçamento Matriz'!D43,Produtos!$A:$F,6,FALSE),"")</f>
        <v/>
      </c>
      <c r="I43" s="22"/>
    </row>
    <row r="44" spans="4:11" x14ac:dyDescent="0.25">
      <c r="E44" t="str">
        <f>IFERROR(VLOOKUP('Orçamento Matriz'!D44,Produtos!$A:$F,2,FALSE),"")</f>
        <v/>
      </c>
      <c r="F44" s="30" t="str">
        <f>IFERROR(VLOOKUP('Orçamento Matriz'!D44,Produtos!$A:$F,5,FALSE),"")</f>
        <v/>
      </c>
      <c r="G44" s="34"/>
      <c r="H44" s="21" t="str">
        <f>IFERROR(VLOOKUP('Orçamento Matriz'!D44,Produtos!$A:$F,6,FALSE),"")</f>
        <v/>
      </c>
      <c r="I44" s="22"/>
    </row>
    <row r="45" spans="4:11" x14ac:dyDescent="0.25">
      <c r="E45" s="14" t="s">
        <v>38</v>
      </c>
      <c r="F45" s="30">
        <f>SUM(G19:G44)</f>
        <v>58</v>
      </c>
    </row>
    <row r="46" spans="4:11" x14ac:dyDescent="0.25">
      <c r="E46" s="14" t="s">
        <v>39</v>
      </c>
      <c r="F46" s="25">
        <f>IF(SUM(H19:H44) = 0, "", SUM(H19:H44))</f>
        <v>45</v>
      </c>
    </row>
    <row r="47" spans="4:11" x14ac:dyDescent="0.25"/>
    <row r="48" spans="4:11" x14ac:dyDescent="0.25"/>
    <row r="49" spans="2:11" x14ac:dyDescent="0.25"/>
    <row r="50" spans="2:11" x14ac:dyDescent="0.25">
      <c r="F50" s="36"/>
      <c r="G50" s="36"/>
      <c r="H50" s="36"/>
      <c r="I50" s="36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  <row r="55" spans="2:11" hidden="1" x14ac:dyDescent="0.25">
      <c r="B55" s="13">
        <v>1</v>
      </c>
      <c r="C55">
        <v>28</v>
      </c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sCadastroOrcamento">
                <anchor moveWithCells="1" sizeWithCells="1">
                  <from>
                    <xdr:col>3</xdr:col>
                    <xdr:colOff>561975</xdr:colOff>
                    <xdr:row>47</xdr:row>
                    <xdr:rowOff>57150</xdr:rowOff>
                  </from>
                  <to>
                    <xdr:col>4</xdr:col>
                    <xdr:colOff>1162050</xdr:colOff>
                    <xdr:row>49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Impressao">
                <anchor moveWithCells="1" sizeWithCells="1">
                  <from>
                    <xdr:col>4</xdr:col>
                    <xdr:colOff>1619250</xdr:colOff>
                    <xdr:row>47</xdr:row>
                    <xdr:rowOff>95250</xdr:rowOff>
                  </from>
                  <to>
                    <xdr:col>6</xdr:col>
                    <xdr:colOff>171450</xdr:colOff>
                    <xdr:row>49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H27"/>
  <sheetViews>
    <sheetView tabSelected="1" zoomScaleNormal="100" workbookViewId="0">
      <selection activeCell="I11" sqref="I11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customWidth="1"/>
    <col min="4" max="4" width="20.85546875" customWidth="1"/>
    <col min="5" max="5" width="10.7109375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40</v>
      </c>
      <c r="B1" s="29" t="s">
        <v>17</v>
      </c>
      <c r="C1" s="29" t="s">
        <v>41</v>
      </c>
      <c r="D1" s="29" t="s">
        <v>18</v>
      </c>
      <c r="E1" s="29" t="s">
        <v>8</v>
      </c>
      <c r="F1" s="29" t="s">
        <v>42</v>
      </c>
      <c r="G1" s="29" t="s">
        <v>43</v>
      </c>
      <c r="H1" s="29" t="s">
        <v>44</v>
      </c>
    </row>
    <row r="2" spans="1:8" x14ac:dyDescent="0.25">
      <c r="A2" s="15" t="e">
        <f>MAX('Orçamentos Salvos'!#REF!)+1</f>
        <v>#REF!</v>
      </c>
      <c r="C2" s="20">
        <v>30</v>
      </c>
      <c r="D2" t="s">
        <v>59</v>
      </c>
      <c r="E2" s="35" t="s">
        <v>6</v>
      </c>
      <c r="F2" s="32">
        <v>30</v>
      </c>
      <c r="G2" s="21">
        <v>10</v>
      </c>
      <c r="H2" s="5">
        <v>45</v>
      </c>
    </row>
    <row r="3" spans="1:8" ht="12.75" customHeight="1" x14ac:dyDescent="0.25">
      <c r="C3" s="31">
        <v>28</v>
      </c>
      <c r="D3" t="s">
        <v>23</v>
      </c>
      <c r="E3" s="35" t="s">
        <v>8</v>
      </c>
      <c r="F3" s="32">
        <v>28</v>
      </c>
      <c r="G3" s="21">
        <v>5</v>
      </c>
    </row>
    <row r="4" spans="1:8" ht="12.75" customHeight="1" x14ac:dyDescent="0.25">
      <c r="C4" s="20">
        <v>28</v>
      </c>
      <c r="D4" t="s">
        <v>23</v>
      </c>
      <c r="E4" s="35" t="s">
        <v>8</v>
      </c>
      <c r="F4" s="33" t="s">
        <v>61</v>
      </c>
      <c r="G4" s="21">
        <v>5</v>
      </c>
    </row>
    <row r="5" spans="1:8" x14ac:dyDescent="0.25">
      <c r="C5" s="20">
        <v>30</v>
      </c>
      <c r="D5" t="s">
        <v>59</v>
      </c>
      <c r="E5" s="35" t="s">
        <v>6</v>
      </c>
      <c r="F5" s="33" t="s">
        <v>60</v>
      </c>
      <c r="G5" s="21">
        <v>10</v>
      </c>
    </row>
    <row r="6" spans="1:8" x14ac:dyDescent="0.25">
      <c r="C6" s="20">
        <v>28</v>
      </c>
      <c r="D6" t="s">
        <v>23</v>
      </c>
      <c r="E6" s="35" t="s">
        <v>8</v>
      </c>
      <c r="F6" s="33" t="s">
        <v>61</v>
      </c>
      <c r="G6" s="21">
        <v>5</v>
      </c>
    </row>
    <row r="7" spans="1:8" x14ac:dyDescent="0.25">
      <c r="C7" s="20">
        <v>28</v>
      </c>
      <c r="D7" t="s">
        <v>23</v>
      </c>
      <c r="E7" s="35" t="s">
        <v>8</v>
      </c>
      <c r="F7" s="32" t="s">
        <v>61</v>
      </c>
      <c r="G7" s="21">
        <v>5</v>
      </c>
    </row>
    <row r="8" spans="1:8" x14ac:dyDescent="0.25">
      <c r="C8" s="20">
        <v>28</v>
      </c>
      <c r="D8" t="s">
        <v>23</v>
      </c>
      <c r="E8" s="35" t="s">
        <v>8</v>
      </c>
      <c r="F8" s="33" t="s">
        <v>61</v>
      </c>
      <c r="G8" s="21">
        <v>5</v>
      </c>
    </row>
    <row r="9" spans="1:8" x14ac:dyDescent="0.25">
      <c r="C9" s="20"/>
      <c r="D9" t="s">
        <v>62</v>
      </c>
      <c r="E9" s="35" t="s">
        <v>62</v>
      </c>
      <c r="F9" s="33"/>
      <c r="G9" s="21" t="s">
        <v>62</v>
      </c>
    </row>
    <row r="10" spans="1:8" x14ac:dyDescent="0.25">
      <c r="C10" s="20"/>
      <c r="E10" s="35"/>
      <c r="F10" s="33"/>
      <c r="G10" s="21"/>
    </row>
    <row r="11" spans="1:8" x14ac:dyDescent="0.25">
      <c r="C11" s="20"/>
      <c r="E11" s="35"/>
      <c r="F11" s="33"/>
      <c r="G11" s="21"/>
    </row>
    <row r="12" spans="1:8" x14ac:dyDescent="0.25">
      <c r="C12" s="20"/>
      <c r="E12" s="35"/>
      <c r="F12" s="33"/>
      <c r="G12" s="21"/>
    </row>
    <row r="13" spans="1:8" x14ac:dyDescent="0.25">
      <c r="C13" s="20"/>
      <c r="E13" s="35"/>
      <c r="F13" s="33"/>
      <c r="G13" s="21"/>
    </row>
    <row r="14" spans="1:8" x14ac:dyDescent="0.25">
      <c r="C14" s="20"/>
      <c r="E14" s="35"/>
      <c r="F14" s="33"/>
      <c r="G14" s="21"/>
    </row>
    <row r="15" spans="1:8" x14ac:dyDescent="0.25">
      <c r="C15" s="20"/>
      <c r="D15" t="s">
        <v>62</v>
      </c>
      <c r="E15" s="35" t="s">
        <v>62</v>
      </c>
      <c r="F15" s="33"/>
      <c r="G15" s="21" t="s">
        <v>62</v>
      </c>
    </row>
    <row r="16" spans="1:8" x14ac:dyDescent="0.25">
      <c r="C16" s="20"/>
      <c r="D16" t="s">
        <v>62</v>
      </c>
      <c r="E16" s="35" t="s">
        <v>62</v>
      </c>
      <c r="F16" s="33"/>
      <c r="G16" s="21"/>
    </row>
    <row r="17" spans="3:7" x14ac:dyDescent="0.25">
      <c r="C17" s="20"/>
      <c r="D17" t="s">
        <v>62</v>
      </c>
      <c r="E17" s="35" t="s">
        <v>62</v>
      </c>
      <c r="F17" s="33"/>
      <c r="G17" s="21" t="s">
        <v>62</v>
      </c>
    </row>
    <row r="18" spans="3:7" x14ac:dyDescent="0.25">
      <c r="D18" t="s">
        <v>62</v>
      </c>
      <c r="E18" s="35" t="s">
        <v>62</v>
      </c>
      <c r="F18" s="33"/>
      <c r="G18" s="21" t="s">
        <v>62</v>
      </c>
    </row>
    <row r="19" spans="3:7" x14ac:dyDescent="0.25">
      <c r="D19" t="s">
        <v>62</v>
      </c>
      <c r="E19" s="35" t="s">
        <v>62</v>
      </c>
      <c r="F19" s="33"/>
      <c r="G19" s="21" t="s">
        <v>62</v>
      </c>
    </row>
    <row r="20" spans="3:7" x14ac:dyDescent="0.25">
      <c r="D20" t="s">
        <v>62</v>
      </c>
      <c r="E20" s="35" t="s">
        <v>62</v>
      </c>
      <c r="F20" s="33"/>
      <c r="G20" s="21" t="s">
        <v>62</v>
      </c>
    </row>
    <row r="21" spans="3:7" x14ac:dyDescent="0.25">
      <c r="D21" t="s">
        <v>62</v>
      </c>
      <c r="E21" s="35" t="s">
        <v>62</v>
      </c>
      <c r="F21" s="33"/>
      <c r="G21" s="21" t="s">
        <v>62</v>
      </c>
    </row>
    <row r="22" spans="3:7" x14ac:dyDescent="0.25">
      <c r="D22" t="s">
        <v>62</v>
      </c>
      <c r="E22" s="35" t="s">
        <v>62</v>
      </c>
      <c r="F22" s="33"/>
      <c r="G22" s="21" t="s">
        <v>62</v>
      </c>
    </row>
    <row r="23" spans="3:7" x14ac:dyDescent="0.25">
      <c r="D23" t="s">
        <v>62</v>
      </c>
      <c r="E23" s="35" t="s">
        <v>62</v>
      </c>
      <c r="F23" s="33"/>
      <c r="G23" s="21" t="s">
        <v>62</v>
      </c>
    </row>
    <row r="24" spans="3:7" x14ac:dyDescent="0.25">
      <c r="D24" t="s">
        <v>62</v>
      </c>
      <c r="E24" s="35" t="s">
        <v>62</v>
      </c>
      <c r="F24" s="33"/>
      <c r="G24" s="21" t="s">
        <v>62</v>
      </c>
    </row>
    <row r="25" spans="3:7" x14ac:dyDescent="0.25">
      <c r="D25" t="s">
        <v>62</v>
      </c>
      <c r="E25" s="35" t="s">
        <v>62</v>
      </c>
      <c r="F25" s="33"/>
      <c r="G25" s="21" t="s">
        <v>62</v>
      </c>
    </row>
    <row r="26" spans="3:7" x14ac:dyDescent="0.25">
      <c r="D26" t="s">
        <v>62</v>
      </c>
      <c r="E26" s="35" t="s">
        <v>62</v>
      </c>
      <c r="F26" s="34"/>
      <c r="G26" s="21" t="s">
        <v>62</v>
      </c>
    </row>
    <row r="27" spans="3:7" x14ac:dyDescent="0.25">
      <c r="D27" t="s">
        <v>62</v>
      </c>
      <c r="E27" s="35" t="s">
        <v>62</v>
      </c>
      <c r="F27" s="34"/>
      <c r="G27" s="21" t="s">
        <v>62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H8"/>
  <sheetViews>
    <sheetView workbookViewId="0">
      <selection activeCell="D3" sqref="D3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  <c r="D3">
        <v>30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4C22E-F6A3-4E42-A306-B347552FAD49}">
  <sheetPr codeName="Planilha6"/>
  <dimension ref="A1:D7"/>
  <sheetViews>
    <sheetView workbookViewId="0">
      <selection activeCell="D3" sqref="D3"/>
    </sheetView>
  </sheetViews>
  <sheetFormatPr defaultRowHeight="15" x14ac:dyDescent="0.25"/>
  <cols>
    <col min="1" max="1" width="26.28515625" bestFit="1" customWidth="1"/>
    <col min="3" max="3" width="17" bestFit="1" customWidth="1"/>
  </cols>
  <sheetData>
    <row r="1" spans="1:4" x14ac:dyDescent="0.25">
      <c r="A1" t="s">
        <v>45</v>
      </c>
      <c r="B1" t="s">
        <v>46</v>
      </c>
      <c r="C1" t="s">
        <v>47</v>
      </c>
    </row>
    <row r="2" spans="1:4" x14ac:dyDescent="0.25">
      <c r="A2" t="s">
        <v>48</v>
      </c>
      <c r="B2">
        <v>123</v>
      </c>
      <c r="C2" t="s">
        <v>46</v>
      </c>
    </row>
    <row r="3" spans="1:4" x14ac:dyDescent="0.25">
      <c r="A3" t="s">
        <v>53</v>
      </c>
      <c r="B3">
        <v>123</v>
      </c>
      <c r="C3" t="s">
        <v>49</v>
      </c>
      <c r="D3">
        <v>30</v>
      </c>
    </row>
    <row r="4" spans="1:4" x14ac:dyDescent="0.25">
      <c r="A4" t="s">
        <v>54</v>
      </c>
      <c r="B4">
        <v>123</v>
      </c>
      <c r="C4" t="s">
        <v>50</v>
      </c>
    </row>
    <row r="5" spans="1:4" x14ac:dyDescent="0.25">
      <c r="A5" t="s">
        <v>56</v>
      </c>
      <c r="B5">
        <v>123</v>
      </c>
      <c r="C5" t="s">
        <v>51</v>
      </c>
    </row>
    <row r="6" spans="1:4" x14ac:dyDescent="0.25">
      <c r="A6" t="s">
        <v>55</v>
      </c>
      <c r="B6">
        <v>123</v>
      </c>
      <c r="C6" t="s">
        <v>52</v>
      </c>
    </row>
    <row r="7" spans="1:4" x14ac:dyDescent="0.25">
      <c r="A7" t="s">
        <v>56</v>
      </c>
      <c r="B7">
        <v>123</v>
      </c>
      <c r="C7" t="s">
        <v>57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C2D1C-6A78-4293-8B55-2BDC4E74DAF2}">
  <sheetPr codeName="Planilha7"/>
  <dimension ref="A1"/>
  <sheetViews>
    <sheetView topLeftCell="D7" workbookViewId="0">
      <selection activeCell="T16" sqref="T16:X40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lsShow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504825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Produtos</vt:lpstr>
      <vt:lpstr>Fornecedor</vt:lpstr>
      <vt:lpstr>Orçamento Matriz</vt:lpstr>
      <vt:lpstr>Orçamentos Salvos</vt:lpstr>
      <vt:lpstr>LISTAS</vt:lpstr>
      <vt:lpstr>Senha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ETS Campinas (CaP/ETS)</cp:lastModifiedBy>
  <cp:lastPrinted>2022-05-31T17:19:01Z</cp:lastPrinted>
  <dcterms:created xsi:type="dcterms:W3CDTF">2015-11-21T17:05:21Z</dcterms:created>
  <dcterms:modified xsi:type="dcterms:W3CDTF">2022-05-31T19:22:13Z</dcterms:modified>
</cp:coreProperties>
</file>